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Учеба\Моделирование процессов и объектов в АСУ ТП(Спирин)\Excel\Excel\"/>
    </mc:Choice>
  </mc:AlternateContent>
  <xr:revisionPtr revIDLastSave="0" documentId="13_ncr:1_{0BE2118C-C1D5-493E-B520-72197450A6C7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Решение без макроса" sheetId="1" r:id="rId1"/>
    <sheet name="data" sheetId="2" r:id="rId2"/>
  </sheets>
  <definedNames>
    <definedName name="solver_adj" localSheetId="1" hidden="1">data!$E$5:$F$5</definedName>
    <definedName name="solver_adj" localSheetId="0" hidden="1">'Решение без макроса'!$E$5:$F$5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data!$E$5:$F$5</definedName>
    <definedName name="solver_lhs1" localSheetId="0" hidden="1">'Решение без макроса'!$B$13</definedName>
    <definedName name="solver_lhs2" localSheetId="1" hidden="1">data!$B$13</definedName>
    <definedName name="solver_lhs2" localSheetId="0" hidden="1">'Решение без макроса'!$G$5</definedName>
    <definedName name="solver_lhs3" localSheetId="1" hidden="1">data!$G$5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2</definedName>
    <definedName name="solver_nwt" localSheetId="1" hidden="1">1</definedName>
    <definedName name="solver_nwt" localSheetId="0" hidden="1">1</definedName>
    <definedName name="solver_opt" localSheetId="1" hidden="1">data!$E$8</definedName>
    <definedName name="solver_opt" localSheetId="0" hidden="1">'Решение без макроса'!$E$8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2</definedName>
    <definedName name="solver_rel1" localSheetId="1" hidden="1">3</definedName>
    <definedName name="solver_rel1" localSheetId="0" hidden="1">3</definedName>
    <definedName name="solver_rel2" localSheetId="1" hidden="1">3</definedName>
    <definedName name="solver_rel2" localSheetId="0" hidden="1">1</definedName>
    <definedName name="solver_rel3" localSheetId="1" hidden="1">1</definedName>
    <definedName name="solver_rhs1" localSheetId="1" hidden="1">0</definedName>
    <definedName name="solver_rhs1" localSheetId="0" hidden="1">'Решение без макроса'!$C$13</definedName>
    <definedName name="solver_rhs2" localSheetId="1" hidden="1">data!$C$13</definedName>
    <definedName name="solver_rhs2" localSheetId="0" hidden="1">'Решение без макроса'!$B$9</definedName>
    <definedName name="solver_rhs3" localSheetId="1" hidden="1">data!$B$9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2" l="1"/>
  <c r="C13" i="2" l="1"/>
  <c r="G5" i="2"/>
  <c r="C13" i="1"/>
  <c r="G5" i="1"/>
  <c r="E8" i="1"/>
</calcChain>
</file>

<file path=xl/sharedStrings.xml><?xml version="1.0" encoding="utf-8"?>
<sst xmlns="http://schemas.openxmlformats.org/spreadsheetml/2006/main" count="50" uniqueCount="25">
  <si>
    <t>Параметры</t>
  </si>
  <si>
    <t>Величина</t>
  </si>
  <si>
    <t>Температура, °С:</t>
  </si>
  <si>
    <r>
      <t>·</t>
    </r>
    <r>
      <rPr>
        <sz val="7"/>
        <color theme="1"/>
        <rFont val="Times New Roman"/>
        <family val="1"/>
        <charset val="204"/>
      </rPr>
      <t xml:space="preserve">         </t>
    </r>
    <r>
      <rPr>
        <sz val="12"/>
        <color theme="1"/>
        <rFont val="Times New Roman"/>
        <family val="1"/>
        <charset val="204"/>
      </rPr>
      <t>внутренний (</t>
    </r>
    <r>
      <rPr>
        <sz val="12"/>
        <color theme="1"/>
        <rFont val="Symbol"/>
        <family val="1"/>
        <charset val="2"/>
      </rPr>
      <t>a</t>
    </r>
    <r>
      <rPr>
        <vertAlign val="subscript"/>
        <sz val="12"/>
        <color theme="1"/>
        <rFont val="Times New Roman"/>
        <family val="1"/>
        <charset val="204"/>
      </rPr>
      <t>раб</t>
    </r>
    <r>
      <rPr>
        <sz val="12"/>
        <color theme="1"/>
        <rFont val="Times New Roman"/>
        <family val="1"/>
        <charset val="204"/>
      </rPr>
      <t>);</t>
    </r>
  </si>
  <si>
    <t>Коэффициент теплопроводности,Вт/(м*°C)</t>
  </si>
  <si>
    <r>
      <t>• материала огнеупорной стенки (</t>
    </r>
    <r>
      <rPr>
        <sz val="11"/>
        <color theme="1"/>
        <rFont val="Calibri"/>
        <family val="2"/>
        <charset val="204"/>
      </rPr>
      <t>λ</t>
    </r>
    <r>
      <rPr>
        <vertAlign val="subscript"/>
        <sz val="11"/>
        <color theme="1"/>
        <rFont val="Calibri"/>
        <family val="2"/>
        <charset val="204"/>
      </rPr>
      <t>огн</t>
    </r>
    <r>
      <rPr>
        <sz val="11"/>
        <color theme="1"/>
        <rFont val="Calibri"/>
        <family val="2"/>
        <charset val="204"/>
      </rPr>
      <t>);</t>
    </r>
  </si>
  <si>
    <r>
      <t>• 1-го материала изоляции (</t>
    </r>
    <r>
      <rPr>
        <sz val="11"/>
        <color theme="1"/>
        <rFont val="Calibri"/>
        <family val="2"/>
        <charset val="204"/>
      </rPr>
      <t>λ</t>
    </r>
    <r>
      <rPr>
        <sz val="11"/>
        <color theme="1"/>
        <rFont val="Calibri"/>
        <family val="2"/>
        <charset val="204"/>
        <scheme val="minor"/>
      </rPr>
      <t>1);</t>
    </r>
  </si>
  <si>
    <r>
      <t>• 2-го материала изоляции (</t>
    </r>
    <r>
      <rPr>
        <sz val="11"/>
        <color theme="1"/>
        <rFont val="Calibri"/>
        <family val="2"/>
        <charset val="204"/>
      </rPr>
      <t>λ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).</t>
    </r>
  </si>
  <si>
    <r>
      <t>Стоимость материала изоляции, усл.ед./м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:</t>
    </r>
  </si>
  <si>
    <r>
      <t>• 1-го материала (С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charset val="204"/>
        <scheme val="minor"/>
      </rPr>
      <t>);</t>
    </r>
  </si>
  <si>
    <r>
      <t>• 2-го материала (С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).</t>
    </r>
  </si>
  <si>
    <r>
      <t>• рабочей среды в печи (t</t>
    </r>
    <r>
      <rPr>
        <sz val="11"/>
        <color theme="1"/>
        <rFont val="Calibri"/>
        <family val="2"/>
        <charset val="204"/>
      </rPr>
      <t>'</t>
    </r>
    <r>
      <rPr>
        <sz val="11"/>
        <color theme="1"/>
        <rFont val="Calibri"/>
        <family val="2"/>
        <charset val="204"/>
        <scheme val="minor"/>
      </rPr>
      <t>);</t>
    </r>
  </si>
  <si>
    <r>
      <t>• окружающей среды (t</t>
    </r>
    <r>
      <rPr>
        <sz val="11"/>
        <color theme="1"/>
        <rFont val="Calibri"/>
        <family val="2"/>
        <charset val="204"/>
      </rPr>
      <t>''</t>
    </r>
    <r>
      <rPr>
        <sz val="11"/>
        <color theme="1"/>
        <rFont val="Calibri"/>
        <family val="2"/>
        <charset val="204"/>
        <scheme val="minor"/>
      </rPr>
      <t>);</t>
    </r>
  </si>
  <si>
    <r>
      <t>·</t>
    </r>
    <r>
      <rPr>
        <sz val="7"/>
        <color theme="1"/>
        <rFont val="Times New Roman"/>
        <family val="1"/>
        <charset val="204"/>
      </rPr>
      <t xml:space="preserve">         </t>
    </r>
    <r>
      <rPr>
        <sz val="12"/>
        <color theme="1"/>
        <rFont val="Times New Roman"/>
        <family val="1"/>
        <charset val="204"/>
      </rPr>
      <t>наружной поверхности (t</t>
    </r>
    <r>
      <rPr>
        <i/>
        <vertAlign val="subscript"/>
        <sz val="12"/>
        <color theme="1"/>
        <rFont val="Times New Roman"/>
        <family val="1"/>
        <charset val="204"/>
      </rPr>
      <t>НП</t>
    </r>
    <r>
      <rPr>
        <i/>
        <vertAlign val="superscript"/>
        <sz val="12"/>
        <color theme="1"/>
        <rFont val="Times New Roman"/>
        <family val="1"/>
        <charset val="204"/>
      </rPr>
      <t>max</t>
    </r>
    <r>
      <rPr>
        <vertAlign val="superscript"/>
        <sz val="12"/>
        <color theme="1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)</t>
    </r>
  </si>
  <si>
    <r>
      <t>• наружный (</t>
    </r>
    <r>
      <rPr>
        <sz val="11"/>
        <color theme="1"/>
        <rFont val="Calibri"/>
        <family val="2"/>
        <charset val="204"/>
      </rPr>
      <t>α</t>
    </r>
    <r>
      <rPr>
        <vertAlign val="subscript"/>
        <sz val="11"/>
        <color theme="1"/>
        <rFont val="Calibri"/>
        <family val="2"/>
        <charset val="204"/>
      </rPr>
      <t>нар</t>
    </r>
    <r>
      <rPr>
        <sz val="11"/>
        <color theme="1"/>
        <rFont val="Calibri"/>
        <family val="2"/>
        <charset val="204"/>
      </rPr>
      <t>)</t>
    </r>
  </si>
  <si>
    <t>Коэффициент теплоотдачи, Вт/(м2*°С):</t>
  </si>
  <si>
    <t>x1</t>
  </si>
  <si>
    <t>x2</t>
  </si>
  <si>
    <t xml:space="preserve">     </t>
  </si>
  <si>
    <t>Толщина слоев, м</t>
  </si>
  <si>
    <r>
      <t>Суммарная толщина изоляции, м (X</t>
    </r>
    <r>
      <rPr>
        <vertAlign val="subscript"/>
        <sz val="11"/>
        <color theme="1"/>
        <rFont val="Calibri"/>
        <family val="2"/>
        <charset val="204"/>
        <scheme val="minor"/>
      </rPr>
      <t>0</t>
    </r>
    <r>
      <rPr>
        <sz val="11"/>
        <color theme="1"/>
        <rFont val="Calibri"/>
        <family val="2"/>
        <charset val="204"/>
        <scheme val="minor"/>
      </rPr>
      <t>)</t>
    </r>
  </si>
  <si>
    <t>Толщина огнеупорной стенки, м</t>
  </si>
  <si>
    <t>Ограничение на температуру наружной стенки:</t>
  </si>
  <si>
    <t>Суммарная стоимость изоляции (целевая функция), у.е.: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</si>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</sst>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sz val="12"/>
      <color theme="1"/>
      <name val="Symbol"/>
      <family val="1"/>
      <charset val="2"/>
    </font>
    <font>
      <sz val="7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vertAlign val="subscript"/>
      <sz val="12"/>
      <color theme="1"/>
      <name val="Times New Roman"/>
      <family val="1"/>
      <charset val="204"/>
    </font>
    <font>
      <i/>
      <vertAlign val="superscript"/>
      <sz val="12"/>
      <color theme="1"/>
      <name val="Times New Roman"/>
      <family val="1"/>
      <charset val="204"/>
    </font>
    <font>
      <vertAlign val="superscript"/>
      <sz val="12"/>
      <color theme="1"/>
      <name val="Times New Roman"/>
      <family val="1"/>
      <charset val="204"/>
    </font>
    <font>
      <vertAlign val="subscript"/>
      <sz val="12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justify" vertical="center" wrapText="1"/>
    </xf>
    <xf numFmtId="0" fontId="0" fillId="0" borderId="1" xfId="0" applyFill="1" applyBorder="1"/>
    <xf numFmtId="0" fontId="0" fillId="0" borderId="0" xfId="0" applyAlignment="1">
      <alignment horizontal="center"/>
    </xf>
    <xf numFmtId="0" fontId="0" fillId="4" borderId="1" xfId="0" applyFill="1" applyBorder="1"/>
    <xf numFmtId="164" fontId="0" fillId="4" borderId="1" xfId="0" applyNumberFormat="1" applyFill="1" applyBorder="1"/>
    <xf numFmtId="0" fontId="0" fillId="0" borderId="0" xfId="0" applyFill="1"/>
    <xf numFmtId="165" fontId="0" fillId="3" borderId="0" xfId="0" applyNumberFormat="1" applyFill="1"/>
    <xf numFmtId="165" fontId="0" fillId="2" borderId="0" xfId="0" applyNumberFormat="1" applyFill="1" applyAlignment="1">
      <alignment horizontal="center"/>
    </xf>
    <xf numFmtId="0" fontId="12" fillId="0" borderId="1" xfId="0" applyFont="1" applyFill="1" applyBorder="1" applyAlignment="1">
      <alignment horizontal="justify" vertical="center" wrapText="1"/>
    </xf>
    <xf numFmtId="165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7</xdr:row>
          <xdr:rowOff>142875</xdr:rowOff>
        </xdr:from>
        <xdr:to>
          <xdr:col>7</xdr:col>
          <xdr:colOff>314325</xdr:colOff>
          <xdr:row>9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K17"/>
  <sheetViews>
    <sheetView workbookViewId="0">
      <selection activeCell="A18" sqref="A18"/>
    </sheetView>
  </sheetViews>
  <sheetFormatPr defaultRowHeight="15" x14ac:dyDescent="0.25"/>
  <cols>
    <col min="1" max="1" width="49.28515625" customWidth="1"/>
    <col min="2" max="2" width="22.140625" customWidth="1"/>
    <col min="5" max="6" width="9.5703125" bestFit="1" customWidth="1"/>
    <col min="13" max="13" width="10.28515625" bestFit="1" customWidth="1"/>
  </cols>
  <sheetData>
    <row r="1" spans="1:11" x14ac:dyDescent="0.25">
      <c r="A1" s="1" t="s">
        <v>0</v>
      </c>
      <c r="B1" s="2" t="s">
        <v>1</v>
      </c>
    </row>
    <row r="2" spans="1:11" x14ac:dyDescent="0.25">
      <c r="A2" s="3" t="s">
        <v>4</v>
      </c>
      <c r="B2" s="3"/>
      <c r="K2" t="s">
        <v>18</v>
      </c>
    </row>
    <row r="3" spans="1:11" ht="18" x14ac:dyDescent="0.35">
      <c r="A3" s="3" t="s">
        <v>5</v>
      </c>
      <c r="B3" s="7">
        <v>24</v>
      </c>
      <c r="E3" t="s">
        <v>19</v>
      </c>
    </row>
    <row r="4" spans="1:11" x14ac:dyDescent="0.25">
      <c r="A4" s="3" t="s">
        <v>6</v>
      </c>
      <c r="B4" s="8">
        <v>1</v>
      </c>
      <c r="E4" s="6" t="s">
        <v>16</v>
      </c>
      <c r="F4" s="6" t="s">
        <v>17</v>
      </c>
      <c r="G4" t="s">
        <v>24</v>
      </c>
    </row>
    <row r="5" spans="1:11" ht="18" x14ac:dyDescent="0.35">
      <c r="A5" s="3" t="s">
        <v>7</v>
      </c>
      <c r="B5" s="7">
        <v>0.2</v>
      </c>
      <c r="E5" s="11">
        <v>0.14612499999998391</v>
      </c>
      <c r="F5" s="11">
        <v>5.3875000000016104E-2</v>
      </c>
      <c r="G5">
        <f>(E5+F5)</f>
        <v>0.2</v>
      </c>
    </row>
    <row r="6" spans="1:11" ht="17.25" x14ac:dyDescent="0.25">
      <c r="A6" s="3" t="s">
        <v>8</v>
      </c>
      <c r="B6" s="3"/>
    </row>
    <row r="7" spans="1:11" ht="18" x14ac:dyDescent="0.35">
      <c r="A7" s="3" t="s">
        <v>9</v>
      </c>
      <c r="B7" s="7">
        <v>1</v>
      </c>
      <c r="E7" s="9" t="s">
        <v>23</v>
      </c>
    </row>
    <row r="8" spans="1:11" ht="18" x14ac:dyDescent="0.35">
      <c r="A8" s="3" t="s">
        <v>10</v>
      </c>
      <c r="B8" s="7">
        <v>8</v>
      </c>
      <c r="E8" s="10">
        <f>E5*B7+F5*B8</f>
        <v>0.57712500000011269</v>
      </c>
    </row>
    <row r="9" spans="1:11" ht="18" x14ac:dyDescent="0.35">
      <c r="A9" s="3" t="s">
        <v>20</v>
      </c>
      <c r="B9" s="7">
        <v>0.2</v>
      </c>
    </row>
    <row r="10" spans="1:11" x14ac:dyDescent="0.25">
      <c r="A10" s="3" t="s">
        <v>2</v>
      </c>
      <c r="B10" s="3"/>
    </row>
    <row r="11" spans="1:11" x14ac:dyDescent="0.25">
      <c r="A11" s="3" t="s">
        <v>11</v>
      </c>
      <c r="B11" s="7">
        <v>900</v>
      </c>
    </row>
    <row r="12" spans="1:11" x14ac:dyDescent="0.25">
      <c r="A12" s="3" t="s">
        <v>12</v>
      </c>
      <c r="B12" s="7">
        <v>20</v>
      </c>
      <c r="C12" t="s">
        <v>22</v>
      </c>
    </row>
    <row r="13" spans="1:11" ht="20.25" x14ac:dyDescent="0.25">
      <c r="A13" s="4" t="s">
        <v>13</v>
      </c>
      <c r="B13" s="7">
        <v>40</v>
      </c>
      <c r="C13" s="10">
        <f>B12+((B11-B12)/((1/B15+B17/B3+E5/B4+F5/B5+1/B16)*B16))</f>
        <v>39.999999999997073</v>
      </c>
    </row>
    <row r="14" spans="1:11" x14ac:dyDescent="0.25">
      <c r="A14" s="3" t="s">
        <v>15</v>
      </c>
      <c r="B14" s="3"/>
    </row>
    <row r="15" spans="1:11" ht="18.75" x14ac:dyDescent="0.25">
      <c r="A15" s="4" t="s">
        <v>3</v>
      </c>
      <c r="B15" s="7">
        <v>500</v>
      </c>
    </row>
    <row r="16" spans="1:11" ht="18" x14ac:dyDescent="0.35">
      <c r="A16" s="5" t="s">
        <v>14</v>
      </c>
      <c r="B16" s="7">
        <v>100</v>
      </c>
    </row>
    <row r="17" spans="1:2" ht="15.75" x14ac:dyDescent="0.25">
      <c r="A17" s="12" t="s">
        <v>21</v>
      </c>
      <c r="B17" s="7">
        <v>0.3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17"/>
  <sheetViews>
    <sheetView tabSelected="1" workbookViewId="0">
      <selection activeCell="E5" sqref="E5"/>
    </sheetView>
  </sheetViews>
  <sheetFormatPr defaultRowHeight="15" x14ac:dyDescent="0.25"/>
  <cols>
    <col min="1" max="1" width="49.28515625" customWidth="1"/>
    <col min="2" max="2" width="22.140625" customWidth="1"/>
    <col min="5" max="6" width="9.5703125" bestFit="1" customWidth="1"/>
    <col min="13" max="13" width="10.28515625" bestFit="1" customWidth="1"/>
  </cols>
  <sheetData>
    <row r="1" spans="1:11" x14ac:dyDescent="0.25">
      <c r="A1" s="1" t="s">
        <v>0</v>
      </c>
      <c r="B1" s="2" t="s">
        <v>1</v>
      </c>
    </row>
    <row r="2" spans="1:11" x14ac:dyDescent="0.25">
      <c r="A2" s="3" t="s">
        <v>4</v>
      </c>
      <c r="B2" s="3"/>
      <c r="K2" t="s">
        <v>18</v>
      </c>
    </row>
    <row r="3" spans="1:11" ht="18" x14ac:dyDescent="0.35">
      <c r="A3" s="3" t="s">
        <v>5</v>
      </c>
      <c r="B3" s="7">
        <v>24</v>
      </c>
      <c r="E3" t="s">
        <v>19</v>
      </c>
    </row>
    <row r="4" spans="1:11" x14ac:dyDescent="0.25">
      <c r="A4" s="3" t="s">
        <v>6</v>
      </c>
      <c r="B4" s="8">
        <v>1</v>
      </c>
      <c r="E4" s="6" t="s">
        <v>16</v>
      </c>
      <c r="F4" s="6" t="s">
        <v>17</v>
      </c>
      <c r="G4" t="s">
        <v>24</v>
      </c>
    </row>
    <row r="5" spans="1:11" ht="18" x14ac:dyDescent="0.35">
      <c r="A5" s="3" t="s">
        <v>7</v>
      </c>
      <c r="B5" s="7">
        <v>0.2</v>
      </c>
      <c r="E5" s="13">
        <v>0.14612499950070143</v>
      </c>
      <c r="F5" s="13">
        <v>5.3875000499298574E-2</v>
      </c>
      <c r="G5">
        <f>(E5+F5)</f>
        <v>0.2</v>
      </c>
    </row>
    <row r="6" spans="1:11" ht="17.25" x14ac:dyDescent="0.25">
      <c r="A6" s="3" t="s">
        <v>8</v>
      </c>
      <c r="B6" s="3"/>
    </row>
    <row r="7" spans="1:11" ht="18" x14ac:dyDescent="0.35">
      <c r="A7" s="3" t="s">
        <v>9</v>
      </c>
      <c r="B7" s="7">
        <v>1</v>
      </c>
      <c r="E7" s="9" t="s">
        <v>23</v>
      </c>
    </row>
    <row r="8" spans="1:11" ht="18" x14ac:dyDescent="0.35">
      <c r="A8" s="3" t="s">
        <v>10</v>
      </c>
      <c r="B8" s="7">
        <v>8</v>
      </c>
      <c r="E8" s="10">
        <f>E5*B7+F5*B8</f>
        <v>0.57712500349508999</v>
      </c>
    </row>
    <row r="9" spans="1:11" ht="18" x14ac:dyDescent="0.35">
      <c r="A9" s="3" t="s">
        <v>20</v>
      </c>
      <c r="B9" s="7">
        <v>0.2</v>
      </c>
    </row>
    <row r="10" spans="1:11" x14ac:dyDescent="0.25">
      <c r="A10" s="3" t="s">
        <v>2</v>
      </c>
      <c r="B10" s="3"/>
    </row>
    <row r="11" spans="1:11" x14ac:dyDescent="0.25">
      <c r="A11" s="3" t="s">
        <v>11</v>
      </c>
      <c r="B11" s="7">
        <v>900</v>
      </c>
    </row>
    <row r="12" spans="1:11" x14ac:dyDescent="0.25">
      <c r="A12" s="3" t="s">
        <v>12</v>
      </c>
      <c r="B12" s="7">
        <v>20</v>
      </c>
      <c r="C12" t="s">
        <v>22</v>
      </c>
    </row>
    <row r="13" spans="1:11" ht="20.25" x14ac:dyDescent="0.25">
      <c r="A13" s="4" t="s">
        <v>13</v>
      </c>
      <c r="B13" s="7">
        <v>40</v>
      </c>
      <c r="C13" s="10">
        <f>B12+((B11-B12)/((1/B15+B17/B3+E5/B4+F5/B5+1/B16)*B16))</f>
        <v>39.999999909218445</v>
      </c>
    </row>
    <row r="14" spans="1:11" x14ac:dyDescent="0.25">
      <c r="A14" s="3" t="s">
        <v>15</v>
      </c>
      <c r="B14" s="3"/>
    </row>
    <row r="15" spans="1:11" ht="18.75" x14ac:dyDescent="0.25">
      <c r="A15" s="4" t="s">
        <v>3</v>
      </c>
      <c r="B15" s="7">
        <v>500</v>
      </c>
    </row>
    <row r="16" spans="1:11" ht="18" x14ac:dyDescent="0.35">
      <c r="A16" s="5" t="s">
        <v>14</v>
      </c>
      <c r="B16" s="7">
        <v>100</v>
      </c>
    </row>
    <row r="17" spans="1:2" ht="15.75" x14ac:dyDescent="0.25">
      <c r="A17" s="12" t="s">
        <v>21</v>
      </c>
      <c r="B17" s="7">
        <v>0.3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Оптимизация">
                <anchor moveWithCells="1" sizeWithCells="1">
                  <from>
                    <xdr:col>5</xdr:col>
                    <xdr:colOff>523875</xdr:colOff>
                    <xdr:row>7</xdr:row>
                    <xdr:rowOff>142875</xdr:rowOff>
                  </from>
                  <to>
                    <xdr:col>7</xdr:col>
                    <xdr:colOff>314325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Решение без макроса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Болотов Александр Александрович</dc:creator>
  <cp:lastModifiedBy>Болотов Александр Александрович</cp:lastModifiedBy>
  <cp:lastPrinted>2018-12-05T10:30:00Z</cp:lastPrinted>
  <dcterms:created xsi:type="dcterms:W3CDTF">2018-12-05T10:14:08Z</dcterms:created>
  <dcterms:modified xsi:type="dcterms:W3CDTF">2021-12-17T12:28:37Z</dcterms:modified>
</cp:coreProperties>
</file>